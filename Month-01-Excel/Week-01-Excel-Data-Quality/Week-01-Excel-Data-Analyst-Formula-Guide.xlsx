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manadhan\Downloads\Git\Week-01-Excel-Data-Analyst-Resource\Week-01-Excel-Data-Analyst-Resource\"/>
    </mc:Choice>
  </mc:AlternateContent>
  <xr:revisionPtr revIDLastSave="0" documentId="8_{573CC7C3-FB05-488E-B542-6069AFBF6549}" xr6:coauthVersionLast="47" xr6:coauthVersionMax="47" xr10:uidLastSave="{00000000-0000-0000-0000-000000000000}"/>
  <bookViews>
    <workbookView xWindow="-108" yWindow="-108" windowWidth="23256" windowHeight="12456" firstSheet="6" activeTab="11" xr2:uid="{00000000-000D-0000-FFFF-FFFF00000000}"/>
  </bookViews>
  <sheets>
    <sheet name="START_HERE" sheetId="1" r:id="rId1"/>
    <sheet name="Dataset" sheetId="2" r:id="rId2"/>
    <sheet name="01_Basic_Math" sheetId="3" r:id="rId3"/>
    <sheet name="02_Logical" sheetId="4" r:id="rId4"/>
    <sheet name="03_Lookups" sheetId="5" r:id="rId5"/>
    <sheet name="04_Criteria_Aggregation" sheetId="6" r:id="rId6"/>
    <sheet name="05_Text" sheetId="7" r:id="rId7"/>
    <sheet name="06_Date_Time" sheetId="8" r:id="rId8"/>
    <sheet name="07_Data_Quality" sheetId="9" r:id="rId9"/>
    <sheet name="08_Dynamic_Array" sheetId="10" r:id="rId10"/>
    <sheet name="09_Analysis" sheetId="11" r:id="rId11"/>
    <sheet name="10_Practice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1" l="1"/>
  <c r="C5" i="11"/>
  <c r="C4" i="11"/>
  <c r="C3" i="11"/>
  <c r="C5" i="10" a="1"/>
  <c r="C3" i="10" a="1"/>
  <c r="C11" i="7"/>
  <c r="C10" i="7"/>
  <c r="C9" i="6"/>
  <c r="C8" i="6"/>
  <c r="C7" i="5"/>
  <c r="C2" i="5"/>
  <c r="C7" i="4"/>
  <c r="C3" i="4" a="1"/>
  <c r="C8" i="11"/>
  <c r="C6" i="11"/>
  <c r="C2" i="11"/>
  <c r="C8" i="9"/>
  <c r="C7" i="9"/>
  <c r="C6" i="9"/>
  <c r="C5" i="9"/>
  <c r="C4" i="9"/>
  <c r="C3" i="9"/>
  <c r="C2" i="9"/>
  <c r="C10" i="8"/>
  <c r="C9" i="8"/>
  <c r="C8" i="8"/>
  <c r="C7" i="8"/>
  <c r="C6" i="8"/>
  <c r="C5" i="8"/>
  <c r="C4" i="8"/>
  <c r="C3" i="8"/>
  <c r="C2" i="8"/>
  <c r="C14" i="7"/>
  <c r="C13" i="7"/>
  <c r="C12" i="7"/>
  <c r="C9" i="7"/>
  <c r="C8" i="7"/>
  <c r="C7" i="7"/>
  <c r="C6" i="7"/>
  <c r="C5" i="7"/>
  <c r="C4" i="7"/>
  <c r="C3" i="7"/>
  <c r="C2" i="7"/>
  <c r="C7" i="6"/>
  <c r="C6" i="6"/>
  <c r="C5" i="6"/>
  <c r="C4" i="6"/>
  <c r="C3" i="6"/>
  <c r="C2" i="6"/>
  <c r="C6" i="5"/>
  <c r="C5" i="5"/>
  <c r="C4" i="5"/>
  <c r="C3" i="5"/>
  <c r="C6" i="4"/>
  <c r="C5" i="4"/>
  <c r="C4" i="4"/>
  <c r="C2" i="4"/>
  <c r="C9" i="3"/>
  <c r="C8" i="3"/>
  <c r="C7" i="3"/>
  <c r="C6" i="3"/>
  <c r="C5" i="3"/>
  <c r="C4" i="3"/>
  <c r="C3" i="3"/>
  <c r="C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<sst xmlns="http://schemas.openxmlformats.org/spreadsheetml/2006/main" count="489" uniqueCount="356">
  <si>
    <t>WEEK 01 — EXCEL + DATA ANALYTICS</t>
  </si>
  <si>
    <t>Purpose</t>
  </si>
  <si>
    <t>Beginner-friendly Excel resource for learning Data Analytics through business examples.</t>
  </si>
  <si>
    <t>Start here</t>
  </si>
  <si>
    <t>Open the Dataset sheet, then follow sheets 01 to 10 in order.</t>
  </si>
  <si>
    <t>Learning method</t>
  </si>
  <si>
    <t>Understand → Practice → Solve a business question → Build a report</t>
  </si>
  <si>
    <t>Important</t>
  </si>
  <si>
    <t>XLOOKUP, FILTER and UNIQUE require newer Excel versions; compatible alternatives are included.</t>
  </si>
  <si>
    <t>Employee_ID</t>
  </si>
  <si>
    <t>Employee_Name</t>
  </si>
  <si>
    <t>Department</t>
  </si>
  <si>
    <t>Location</t>
  </si>
  <si>
    <t>Status</t>
  </si>
  <si>
    <t>Joining_Date</t>
  </si>
  <si>
    <t>Target</t>
  </si>
  <si>
    <t>Actual</t>
  </si>
  <si>
    <t>Attendance_%</t>
  </si>
  <si>
    <t>Salary</t>
  </si>
  <si>
    <t>Rating</t>
  </si>
  <si>
    <t>Manager</t>
  </si>
  <si>
    <t>E1001</t>
  </si>
  <si>
    <t>Arun</t>
  </si>
  <si>
    <t>IT</t>
  </si>
  <si>
    <t>Hyderabad</t>
  </si>
  <si>
    <t>Active</t>
  </si>
  <si>
    <t>Manager A</t>
  </si>
  <si>
    <t>E1002</t>
  </si>
  <si>
    <t>Priya</t>
  </si>
  <si>
    <t>Sales</t>
  </si>
  <si>
    <t>Chennai</t>
  </si>
  <si>
    <t>On Leave</t>
  </si>
  <si>
    <t>Manager D</t>
  </si>
  <si>
    <t>E1003</t>
  </si>
  <si>
    <t>Rahul</t>
  </si>
  <si>
    <t>Inactive</t>
  </si>
  <si>
    <t>Manager B</t>
  </si>
  <si>
    <t>E1004</t>
  </si>
  <si>
    <t>Sneha</t>
  </si>
  <si>
    <t>Finance</t>
  </si>
  <si>
    <t>Bengaluru</t>
  </si>
  <si>
    <t>E1005</t>
  </si>
  <si>
    <t>Karthik</t>
  </si>
  <si>
    <t>Operations</t>
  </si>
  <si>
    <t>E1006</t>
  </si>
  <si>
    <t>Divya</t>
  </si>
  <si>
    <t>Manager C</t>
  </si>
  <si>
    <t>E1007</t>
  </si>
  <si>
    <t>Vijay</t>
  </si>
  <si>
    <t>E1008</t>
  </si>
  <si>
    <t>Meena</t>
  </si>
  <si>
    <t>E1009</t>
  </si>
  <si>
    <t>Rohit</t>
  </si>
  <si>
    <t>E1010</t>
  </si>
  <si>
    <t>Anjali</t>
  </si>
  <si>
    <t>E1011</t>
  </si>
  <si>
    <t>Suresh</t>
  </si>
  <si>
    <t>E1012</t>
  </si>
  <si>
    <t>Kavya</t>
  </si>
  <si>
    <t>E1013</t>
  </si>
  <si>
    <t>Naveen</t>
  </si>
  <si>
    <t>E1014</t>
  </si>
  <si>
    <t>Asha</t>
  </si>
  <si>
    <t>E1015</t>
  </si>
  <si>
    <t>Manoj</t>
  </si>
  <si>
    <t>E1016</t>
  </si>
  <si>
    <t>Deepa</t>
  </si>
  <si>
    <t>E1017</t>
  </si>
  <si>
    <t>Ravi</t>
  </si>
  <si>
    <t>E1018</t>
  </si>
  <si>
    <t>Pooja</t>
  </si>
  <si>
    <t>E1019</t>
  </si>
  <si>
    <t>Hari</t>
  </si>
  <si>
    <t>E1020</t>
  </si>
  <si>
    <t>Nithya</t>
  </si>
  <si>
    <t>Function / Topic</t>
  </si>
  <si>
    <t>What it does</t>
  </si>
  <si>
    <t>Example formula</t>
  </si>
  <si>
    <t>Business use</t>
  </si>
  <si>
    <t>Practice</t>
  </si>
  <si>
    <t>SUM</t>
  </si>
  <si>
    <t>Adds numbers</t>
  </si>
  <si>
    <t>Total target</t>
  </si>
  <si>
    <t>Change the range</t>
  </si>
  <si>
    <t>AVERAGE</t>
  </si>
  <si>
    <t>Finds average</t>
  </si>
  <si>
    <t>Average actual</t>
  </si>
  <si>
    <t>Compare with median</t>
  </si>
  <si>
    <t>MIN</t>
  </si>
  <si>
    <t>Smallest value</t>
  </si>
  <si>
    <t>Lowest actual</t>
  </si>
  <si>
    <t>Find lowest</t>
  </si>
  <si>
    <t>MAX</t>
  </si>
  <si>
    <t>Largest value</t>
  </si>
  <si>
    <t>Highest actual</t>
  </si>
  <si>
    <t>Find highest</t>
  </si>
  <si>
    <t>COUNT</t>
  </si>
  <si>
    <t>Counts numbers</t>
  </si>
  <si>
    <t>Count numeric records</t>
  </si>
  <si>
    <t>Change range</t>
  </si>
  <si>
    <t>COUNTA</t>
  </si>
  <si>
    <t>Counts non-empty cells</t>
  </si>
  <si>
    <t>Count populated IDs</t>
  </si>
  <si>
    <t>Create a blank and test</t>
  </si>
  <si>
    <t>COUNTBLANK</t>
  </si>
  <si>
    <t>Counts blank cells</t>
  </si>
  <si>
    <t>Find missing departments</t>
  </si>
  <si>
    <t>Create a blank</t>
  </si>
  <si>
    <t>ROUND</t>
  </si>
  <si>
    <t>Rounds a number</t>
  </si>
  <si>
    <t>Clean KPI display</t>
  </si>
  <si>
    <t>Try 0/1/2 decimals</t>
  </si>
  <si>
    <t>IF</t>
  </si>
  <si>
    <t>Tests a condition</t>
  </si>
  <si>
    <t>Target achievement</t>
  </si>
  <si>
    <t>Change condition</t>
  </si>
  <si>
    <t>IFS</t>
  </si>
  <si>
    <t>Tests multiple conditions</t>
  </si>
  <si>
    <t>Performance bands</t>
  </si>
  <si>
    <t>Create 3 bands</t>
  </si>
  <si>
    <t>AND</t>
  </si>
  <si>
    <t>TRUE when all conditions are true</t>
  </si>
  <si>
    <t>Multiple conditions</t>
  </si>
  <si>
    <t>Change department</t>
  </si>
  <si>
    <t>OR</t>
  </si>
  <si>
    <t>TRUE when any condition is true</t>
  </si>
  <si>
    <t>Exception checks</t>
  </si>
  <si>
    <t>Add a status</t>
  </si>
  <si>
    <t>IFERROR</t>
  </si>
  <si>
    <t>Returns your fallback if formula errors</t>
  </si>
  <si>
    <t>Clean report output</t>
  </si>
  <si>
    <t>Try division by zero</t>
  </si>
  <si>
    <t>IFNA</t>
  </si>
  <si>
    <t>Handles #N/A</t>
  </si>
  <si>
    <t>Missing lookup</t>
  </si>
  <si>
    <t>Try an existing ID</t>
  </si>
  <si>
    <t>XLOOKUP</t>
  </si>
  <si>
    <t>Finds a value and returns related value</t>
  </si>
  <si>
    <t>Employee lookup</t>
  </si>
  <si>
    <t>Replace E1001</t>
  </si>
  <si>
    <t>VLOOKUP</t>
  </si>
  <si>
    <t>Looks in first column and returns another column</t>
  </si>
  <si>
    <t>Legacy lookup</t>
  </si>
  <si>
    <t>Change index</t>
  </si>
  <si>
    <t>INDEX</t>
  </si>
  <si>
    <t>Returns a value by position</t>
  </si>
  <si>
    <t>Retrieve a value</t>
  </si>
  <si>
    <t>Change row</t>
  </si>
  <si>
    <t>MATCH</t>
  </si>
  <si>
    <t>Finds position</t>
  </si>
  <si>
    <t>Find row position</t>
  </si>
  <si>
    <t>Try another ID</t>
  </si>
  <si>
    <t>INDEX + MATCH</t>
  </si>
  <si>
    <t>Flexible lookup</t>
  </si>
  <si>
    <t>Older Excel lookup</t>
  </si>
  <si>
    <t>XMATCH</t>
  </si>
  <si>
    <t>Modern MATCH alternative</t>
  </si>
  <si>
    <t>Modern position lookup</t>
  </si>
  <si>
    <t>SUMIF</t>
  </si>
  <si>
    <t>Adds values for one condition</t>
  </si>
  <si>
    <t>Department actual</t>
  </si>
  <si>
    <t>Change Sales</t>
  </si>
  <si>
    <t>SUMIFS</t>
  </si>
  <si>
    <t>Adds values for multiple conditions</t>
  </si>
  <si>
    <t>Active Sales actual</t>
  </si>
  <si>
    <t>Add condition</t>
  </si>
  <si>
    <t>COUNTIF</t>
  </si>
  <si>
    <t>Counts one condition</t>
  </si>
  <si>
    <t>Employees by department</t>
  </si>
  <si>
    <t>COUNTIFS</t>
  </si>
  <si>
    <t>Counts multiple conditions</t>
  </si>
  <si>
    <t>Active employees</t>
  </si>
  <si>
    <t>Change conditions</t>
  </si>
  <si>
    <t>AVERAGEIF</t>
  </si>
  <si>
    <t>Average with one condition</t>
  </si>
  <si>
    <t>Average Sales actual</t>
  </si>
  <si>
    <t>AVERAGEIFS</t>
  </si>
  <si>
    <t>Average with multiple conditions</t>
  </si>
  <si>
    <t>Average active Sales</t>
  </si>
  <si>
    <t>MAXIFS</t>
  </si>
  <si>
    <t>Maximum with conditions</t>
  </si>
  <si>
    <t>Best Sales actual</t>
  </si>
  <si>
    <t>MINIFS</t>
  </si>
  <si>
    <t>Minimum with conditions</t>
  </si>
  <si>
    <t>Lowest Sales actual</t>
  </si>
  <si>
    <t>LEFT</t>
  </si>
  <si>
    <t>Characters from left</t>
  </si>
  <si>
    <t>Extract prefixes</t>
  </si>
  <si>
    <t>Change number</t>
  </si>
  <si>
    <t>RIGHT</t>
  </si>
  <si>
    <t>Characters from right</t>
  </si>
  <si>
    <t>Extract ID suffix</t>
  </si>
  <si>
    <t>MID</t>
  </si>
  <si>
    <t>Characters from middle</t>
  </si>
  <si>
    <t>Extract ID part</t>
  </si>
  <si>
    <t>Change positions</t>
  </si>
  <si>
    <t>LEN</t>
  </si>
  <si>
    <t>Counts characters</t>
  </si>
  <si>
    <t>Check text length</t>
  </si>
  <si>
    <t>Try another name</t>
  </si>
  <si>
    <t>TRIM</t>
  </si>
  <si>
    <t>Removes extra spaces</t>
  </si>
  <si>
    <t>Clean imported text</t>
  </si>
  <si>
    <t>Add spaces</t>
  </si>
  <si>
    <t>UPPER</t>
  </si>
  <si>
    <t>Uppercase text</t>
  </si>
  <si>
    <t>Standardize categories</t>
  </si>
  <si>
    <t>Try department</t>
  </si>
  <si>
    <t>LOWER</t>
  </si>
  <si>
    <t>Lowercase text</t>
  </si>
  <si>
    <t>Standardize text</t>
  </si>
  <si>
    <t>Try location</t>
  </si>
  <si>
    <t>PROPER</t>
  </si>
  <si>
    <t>Capitalizes words</t>
  </si>
  <si>
    <t>Clean text</t>
  </si>
  <si>
    <t>Try text</t>
  </si>
  <si>
    <t>CONCAT</t>
  </si>
  <si>
    <t>Combines text</t>
  </si>
  <si>
    <t>Create labels</t>
  </si>
  <si>
    <t>Change separator</t>
  </si>
  <si>
    <t>TEXTJOIN</t>
  </si>
  <si>
    <t>Joins multiple values</t>
  </si>
  <si>
    <t>Build labels</t>
  </si>
  <si>
    <t>Add fields</t>
  </si>
  <si>
    <t>SUBSTITUTE</t>
  </si>
  <si>
    <t>Replaces text</t>
  </si>
  <si>
    <t>Standardize values</t>
  </si>
  <si>
    <t>Change replacement</t>
  </si>
  <si>
    <t>FIND</t>
  </si>
  <si>
    <t>Finds text position</t>
  </si>
  <si>
    <t>Locate text</t>
  </si>
  <si>
    <t>Try a letter</t>
  </si>
  <si>
    <t>SEARCH</t>
  </si>
  <si>
    <t>Finds text position, not case-sensitive</t>
  </si>
  <si>
    <t>TODAY</t>
  </si>
  <si>
    <t>Today's date</t>
  </si>
  <si>
    <t>Reporting dates</t>
  </si>
  <si>
    <t>Use in report</t>
  </si>
  <si>
    <t>NOW</t>
  </si>
  <si>
    <t>Current date/time</t>
  </si>
  <si>
    <t>Timestamp</t>
  </si>
  <si>
    <t>YEAR</t>
  </si>
  <si>
    <t>Extracts year</t>
  </si>
  <si>
    <t>Year analysis</t>
  </si>
  <si>
    <t>MONTH</t>
  </si>
  <si>
    <t>Extracts month</t>
  </si>
  <si>
    <t>Monthly analysis</t>
  </si>
  <si>
    <t>DAY</t>
  </si>
  <si>
    <t>Extracts day</t>
  </si>
  <si>
    <t>Date analysis</t>
  </si>
  <si>
    <t>EOMONTH</t>
  </si>
  <si>
    <t>Month-end date</t>
  </si>
  <si>
    <t>Monthly reporting</t>
  </si>
  <si>
    <t>Try -1 or 1</t>
  </si>
  <si>
    <t>DATEDIF</t>
  </si>
  <si>
    <t>Date difference</t>
  </si>
  <si>
    <t>Employee tenure</t>
  </si>
  <si>
    <t>Try M or D</t>
  </si>
  <si>
    <t>NETWORKDAYS</t>
  </si>
  <si>
    <t>Working days</t>
  </si>
  <si>
    <t>SLA/workday analysis</t>
  </si>
  <si>
    <t>Add holidays later</t>
  </si>
  <si>
    <t>WEEKDAY</t>
  </si>
  <si>
    <t>Weekday number</t>
  </si>
  <si>
    <t>Weekday/weekend</t>
  </si>
  <si>
    <t>Try another type</t>
  </si>
  <si>
    <t>Duplicate check</t>
  </si>
  <si>
    <t>Flags repeated IDs</t>
  </si>
  <si>
    <t>Find duplicate records</t>
  </si>
  <si>
    <t>Duplicate an ID</t>
  </si>
  <si>
    <t>Blank check</t>
  </si>
  <si>
    <t>Flags missing values</t>
  </si>
  <si>
    <t>Completeness</t>
  </si>
  <si>
    <t>Delete a name</t>
  </si>
  <si>
    <t>ISBLANK</t>
  </si>
  <si>
    <t>Tests blank</t>
  </si>
  <si>
    <t>Missing-value checks</t>
  </si>
  <si>
    <t>Blank a cell</t>
  </si>
  <si>
    <t>ISNUMBER</t>
  </si>
  <si>
    <t>Tests numeric value</t>
  </si>
  <si>
    <t>Validate numeric fields</t>
  </si>
  <si>
    <t>Enter text</t>
  </si>
  <si>
    <t>ISTEXT</t>
  </si>
  <si>
    <t>Tests text</t>
  </si>
  <si>
    <t>Validate text fields</t>
  </si>
  <si>
    <t>Try another cell</t>
  </si>
  <si>
    <t>ISERROR</t>
  </si>
  <si>
    <t>Tests any error</t>
  </si>
  <si>
    <t>Error monitoring</t>
  </si>
  <si>
    <t>Change formula</t>
  </si>
  <si>
    <t>ISNA</t>
  </si>
  <si>
    <t>Tests #N/A</t>
  </si>
  <si>
    <t>Lookup error checks</t>
  </si>
  <si>
    <t>Try XLOOKUP</t>
  </si>
  <si>
    <t>FILTER</t>
  </si>
  <si>
    <t>Returns rows matching criteria</t>
  </si>
  <si>
    <t>Dynamic filtered report</t>
  </si>
  <si>
    <t>UNIQUE</t>
  </si>
  <si>
    <t>Returns unique values</t>
  </si>
  <si>
    <t>Unique list</t>
  </si>
  <si>
    <t>Use another column</t>
  </si>
  <si>
    <t>SORT</t>
  </si>
  <si>
    <t>Sorts an array</t>
  </si>
  <si>
    <t>Sort/rank results</t>
  </si>
  <si>
    <t>Change order</t>
  </si>
  <si>
    <t>SORTBY</t>
  </si>
  <si>
    <t>Sorts by another range</t>
  </si>
  <si>
    <t>Rank employees</t>
  </si>
  <si>
    <t>Change sort field</t>
  </si>
  <si>
    <t>SUBTOTAL</t>
  </si>
  <si>
    <t>Calculates visible/filtered data</t>
  </si>
  <si>
    <t>Filter-aware KPI</t>
  </si>
  <si>
    <t>Filter Dataset</t>
  </si>
  <si>
    <t>AGGREGATE</t>
  </si>
  <si>
    <t>Summary with options to ignore errors/hidden rows</t>
  </si>
  <si>
    <t>Robust summaries</t>
  </si>
  <si>
    <t>Try options</t>
  </si>
  <si>
    <t>RANK.EQ</t>
  </si>
  <si>
    <t>Ranks a number</t>
  </si>
  <si>
    <t>Employee ranking</t>
  </si>
  <si>
    <t>Copy down</t>
  </si>
  <si>
    <t>PERCENTILE.INC</t>
  </si>
  <si>
    <t>Finds percentile</t>
  </si>
  <si>
    <t>Performance distribution</t>
  </si>
  <si>
    <t>Try .5</t>
  </si>
  <si>
    <t>MEDIAN</t>
  </si>
  <si>
    <t>Middle value</t>
  </si>
  <si>
    <t>Central tendency</t>
  </si>
  <si>
    <t>Compare average</t>
  </si>
  <si>
    <t>STDEV.S</t>
  </si>
  <si>
    <t>Sample standard deviation</t>
  </si>
  <si>
    <t>Measure variation</t>
  </si>
  <si>
    <t>Compare datasets</t>
  </si>
  <si>
    <t>CORREL</t>
  </si>
  <si>
    <t>Correlation</t>
  </si>
  <si>
    <t>Explore target vs actual</t>
  </si>
  <si>
    <t>Try other columns</t>
  </si>
  <si>
    <t>Business Question</t>
  </si>
  <si>
    <t>Suggested Function</t>
  </si>
  <si>
    <t>Your Answer</t>
  </si>
  <si>
    <t>How many employees are there?</t>
  </si>
  <si>
    <t>What is total target?</t>
  </si>
  <si>
    <t>What is average actual?</t>
  </si>
  <si>
    <t>How many active employees?</t>
  </si>
  <si>
    <t>How many active Sales employees?</t>
  </si>
  <si>
    <t>What is total actual for Sales?</t>
  </si>
  <si>
    <t>What is total actual for active Sales?</t>
  </si>
  <si>
    <t>Find the name for E1005.</t>
  </si>
  <si>
    <t>XLOOKUP / VLOOKUP</t>
  </si>
  <si>
    <t>Classify each employee as Achieved / Not Achieved.</t>
  </si>
  <si>
    <t>Find duplicate Employee IDs.</t>
  </si>
  <si>
    <t>Find missing values.</t>
  </si>
  <si>
    <t>COUNTBLANK / ISBLANK</t>
  </si>
  <si>
    <t>Create a unique department list.</t>
  </si>
  <si>
    <t>Create a Sales-only dynamic table.</t>
  </si>
  <si>
    <t>Rank employees by Actual.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</si>
</sst>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"/>
  </numFmts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3</v>
    <v>1</v>
  </rv>
  <rv s="0">
    <v>11</v>
    <v>8</v>
    <v>19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4" x14ac:dyDescent="0.3"/>
  <cols>
    <col min="1" max="1" width="54.77734375" bestFit="1" customWidth="1"/>
    <col min="2" max="2" width="95" customWidth="1"/>
  </cols>
  <sheetData>
    <row r="1" spans="1:2" ht="23.4" x14ac:dyDescent="0.45">
      <c r="A1" s="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12" width="24" customWidth="1"/>
  </cols>
  <sheetData>
    <row r="1" spans="1:12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3">
        <v>45366</v>
      </c>
      <c r="G2">
        <v>121</v>
      </c>
      <c r="H2">
        <v>84</v>
      </c>
      <c r="I2" s="4">
        <v>0.96779999999999999</v>
      </c>
      <c r="J2" s="5">
        <v>34168</v>
      </c>
      <c r="K2">
        <v>3</v>
      </c>
      <c r="L2" t="s">
        <v>26</v>
      </c>
    </row>
    <row r="3" spans="1:12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3">
        <v>45720</v>
      </c>
      <c r="G3">
        <v>144</v>
      </c>
      <c r="H3">
        <v>92</v>
      </c>
      <c r="I3" s="4">
        <v>0.83260000000000001</v>
      </c>
      <c r="J3" s="5">
        <v>33944</v>
      </c>
      <c r="K3">
        <v>4</v>
      </c>
      <c r="L3" t="s">
        <v>32</v>
      </c>
    </row>
    <row r="4" spans="1:12" x14ac:dyDescent="0.3">
      <c r="A4" t="s">
        <v>33</v>
      </c>
      <c r="B4" t="s">
        <v>34</v>
      </c>
      <c r="C4" t="s">
        <v>29</v>
      </c>
      <c r="D4" t="s">
        <v>30</v>
      </c>
      <c r="E4" t="s">
        <v>35</v>
      </c>
      <c r="F4" s="3">
        <v>45355</v>
      </c>
      <c r="G4">
        <v>87</v>
      </c>
      <c r="H4">
        <v>137</v>
      </c>
      <c r="I4" s="4">
        <v>0.92390000000000005</v>
      </c>
      <c r="J4" s="5">
        <v>53996</v>
      </c>
      <c r="K4">
        <v>2</v>
      </c>
      <c r="L4" t="s">
        <v>36</v>
      </c>
    </row>
    <row r="5" spans="1:12" x14ac:dyDescent="0.3">
      <c r="A5" t="s">
        <v>37</v>
      </c>
      <c r="B5" t="s">
        <v>38</v>
      </c>
      <c r="C5" t="s">
        <v>39</v>
      </c>
      <c r="D5" t="s">
        <v>40</v>
      </c>
      <c r="E5" t="s">
        <v>31</v>
      </c>
      <c r="F5" s="3">
        <v>45439</v>
      </c>
      <c r="G5">
        <v>85</v>
      </c>
      <c r="H5">
        <v>136</v>
      </c>
      <c r="I5" s="4">
        <v>0.9173</v>
      </c>
      <c r="J5" s="5">
        <v>65415</v>
      </c>
      <c r="K5">
        <v>3</v>
      </c>
      <c r="L5" t="s">
        <v>36</v>
      </c>
    </row>
    <row r="6" spans="1:12" x14ac:dyDescent="0.3">
      <c r="A6" t="s">
        <v>41</v>
      </c>
      <c r="B6" t="s">
        <v>42</v>
      </c>
      <c r="C6" t="s">
        <v>43</v>
      </c>
      <c r="D6" t="s">
        <v>24</v>
      </c>
      <c r="E6" t="s">
        <v>25</v>
      </c>
      <c r="F6" s="3">
        <v>45673</v>
      </c>
      <c r="G6">
        <v>93</v>
      </c>
      <c r="H6">
        <v>139</v>
      </c>
      <c r="I6" s="4">
        <v>0.83750000000000002</v>
      </c>
      <c r="J6" s="5">
        <v>74668</v>
      </c>
      <c r="K6">
        <v>2</v>
      </c>
      <c r="L6" t="s">
        <v>26</v>
      </c>
    </row>
    <row r="7" spans="1:12" x14ac:dyDescent="0.3">
      <c r="A7" t="s">
        <v>44</v>
      </c>
      <c r="B7" t="s">
        <v>45</v>
      </c>
      <c r="C7" t="s">
        <v>43</v>
      </c>
      <c r="D7" t="s">
        <v>40</v>
      </c>
      <c r="E7" t="s">
        <v>25</v>
      </c>
      <c r="F7" s="3">
        <v>45768</v>
      </c>
      <c r="G7">
        <v>106</v>
      </c>
      <c r="H7">
        <v>128</v>
      </c>
      <c r="I7" s="4">
        <v>0.9254</v>
      </c>
      <c r="J7" s="5">
        <v>57699</v>
      </c>
      <c r="K7">
        <v>3</v>
      </c>
      <c r="L7" t="s">
        <v>46</v>
      </c>
    </row>
    <row r="8" spans="1:12" x14ac:dyDescent="0.3">
      <c r="A8" t="s">
        <v>47</v>
      </c>
      <c r="B8" t="s">
        <v>48</v>
      </c>
      <c r="C8" t="s">
        <v>39</v>
      </c>
      <c r="D8" t="s">
        <v>30</v>
      </c>
      <c r="E8" t="s">
        <v>35</v>
      </c>
      <c r="F8" s="3">
        <v>45599</v>
      </c>
      <c r="G8">
        <v>111</v>
      </c>
      <c r="H8">
        <v>88</v>
      </c>
      <c r="I8" s="4">
        <v>0.91449999999999998</v>
      </c>
      <c r="J8" s="5">
        <v>50510</v>
      </c>
      <c r="K8">
        <v>5</v>
      </c>
      <c r="L8" t="s">
        <v>32</v>
      </c>
    </row>
    <row r="9" spans="1:12" x14ac:dyDescent="0.3">
      <c r="A9" t="s">
        <v>49</v>
      </c>
      <c r="B9" t="s">
        <v>50</v>
      </c>
      <c r="C9" t="s">
        <v>29</v>
      </c>
      <c r="D9" t="s">
        <v>30</v>
      </c>
      <c r="E9" t="s">
        <v>35</v>
      </c>
      <c r="F9" s="3">
        <v>45720</v>
      </c>
      <c r="G9">
        <v>116</v>
      </c>
      <c r="H9">
        <v>142</v>
      </c>
      <c r="I9" s="4">
        <v>0.84970000000000001</v>
      </c>
      <c r="J9" s="5">
        <v>50416</v>
      </c>
      <c r="K9">
        <v>3</v>
      </c>
      <c r="L9" t="s">
        <v>32</v>
      </c>
    </row>
    <row r="10" spans="1:12" x14ac:dyDescent="0.3">
      <c r="A10" t="s">
        <v>51</v>
      </c>
      <c r="B10" t="s">
        <v>52</v>
      </c>
      <c r="C10" t="s">
        <v>29</v>
      </c>
      <c r="D10" t="s">
        <v>24</v>
      </c>
      <c r="E10" t="s">
        <v>35</v>
      </c>
      <c r="F10" s="3">
        <v>46100</v>
      </c>
      <c r="G10">
        <v>133</v>
      </c>
      <c r="H10">
        <v>70</v>
      </c>
      <c r="I10" s="4">
        <v>0.97760000000000002</v>
      </c>
      <c r="J10" s="5">
        <v>48561</v>
      </c>
      <c r="K10">
        <v>3</v>
      </c>
      <c r="L10" t="s">
        <v>46</v>
      </c>
    </row>
    <row r="11" spans="1:12" x14ac:dyDescent="0.3">
      <c r="A11" t="s">
        <v>53</v>
      </c>
      <c r="B11" t="s">
        <v>54</v>
      </c>
      <c r="C11" t="s">
        <v>23</v>
      </c>
      <c r="D11" t="s">
        <v>30</v>
      </c>
      <c r="E11" t="s">
        <v>25</v>
      </c>
      <c r="F11" s="3">
        <v>45568</v>
      </c>
      <c r="G11">
        <v>143</v>
      </c>
      <c r="H11">
        <v>139</v>
      </c>
      <c r="I11" s="4">
        <v>0.90529999999999999</v>
      </c>
      <c r="J11" s="5">
        <v>71525</v>
      </c>
      <c r="K11">
        <v>2</v>
      </c>
      <c r="L11" t="s">
        <v>26</v>
      </c>
    </row>
    <row r="12" spans="1:12" x14ac:dyDescent="0.3">
      <c r="A12" t="s">
        <v>55</v>
      </c>
      <c r="B12" t="s">
        <v>56</v>
      </c>
      <c r="C12" t="s">
        <v>43</v>
      </c>
      <c r="D12" t="s">
        <v>24</v>
      </c>
      <c r="E12" t="s">
        <v>31</v>
      </c>
      <c r="F12" s="3">
        <v>45583</v>
      </c>
      <c r="G12">
        <v>119</v>
      </c>
      <c r="H12">
        <v>147</v>
      </c>
      <c r="I12" s="4">
        <v>0.94899999999999995</v>
      </c>
      <c r="J12" s="5">
        <v>71820</v>
      </c>
      <c r="K12">
        <v>3</v>
      </c>
      <c r="L12" t="s">
        <v>26</v>
      </c>
    </row>
    <row r="13" spans="1:12" x14ac:dyDescent="0.3">
      <c r="A13" t="s">
        <v>57</v>
      </c>
      <c r="B13" t="s">
        <v>58</v>
      </c>
      <c r="C13" t="s">
        <v>39</v>
      </c>
      <c r="D13" t="s">
        <v>24</v>
      </c>
      <c r="E13" t="s">
        <v>25</v>
      </c>
      <c r="F13" s="3">
        <v>45797</v>
      </c>
      <c r="G13">
        <v>139</v>
      </c>
      <c r="H13">
        <v>110</v>
      </c>
      <c r="I13" s="4">
        <v>0.8306</v>
      </c>
      <c r="J13" s="5">
        <v>46837</v>
      </c>
      <c r="K13">
        <v>3</v>
      </c>
      <c r="L13" t="s">
        <v>36</v>
      </c>
    </row>
    <row r="14" spans="1:12" x14ac:dyDescent="0.3">
      <c r="A14" t="s">
        <v>59</v>
      </c>
      <c r="B14" t="s">
        <v>60</v>
      </c>
      <c r="C14" t="s">
        <v>23</v>
      </c>
      <c r="D14" t="s">
        <v>30</v>
      </c>
      <c r="E14" t="s">
        <v>25</v>
      </c>
      <c r="F14" s="3">
        <v>45751</v>
      </c>
      <c r="G14">
        <v>130</v>
      </c>
      <c r="H14">
        <v>115</v>
      </c>
      <c r="I14" s="4">
        <v>0.89229999999999998</v>
      </c>
      <c r="J14" s="5">
        <v>46208</v>
      </c>
      <c r="K14">
        <v>3</v>
      </c>
      <c r="L14" t="s">
        <v>32</v>
      </c>
    </row>
    <row r="15" spans="1:12" x14ac:dyDescent="0.3">
      <c r="A15" t="s">
        <v>61</v>
      </c>
      <c r="B15" t="s">
        <v>62</v>
      </c>
      <c r="C15" t="s">
        <v>23</v>
      </c>
      <c r="D15" t="s">
        <v>40</v>
      </c>
      <c r="E15" t="s">
        <v>31</v>
      </c>
      <c r="F15" s="3">
        <v>45528</v>
      </c>
      <c r="G15">
        <v>150</v>
      </c>
      <c r="H15">
        <v>100</v>
      </c>
      <c r="I15" s="4">
        <v>0.84719999999999995</v>
      </c>
      <c r="J15" s="5">
        <v>39548</v>
      </c>
      <c r="K15">
        <v>3</v>
      </c>
      <c r="L15" t="s">
        <v>36</v>
      </c>
    </row>
    <row r="16" spans="1:12" x14ac:dyDescent="0.3">
      <c r="A16" t="s">
        <v>63</v>
      </c>
      <c r="B16" t="s">
        <v>64</v>
      </c>
      <c r="C16" t="s">
        <v>23</v>
      </c>
      <c r="D16" t="s">
        <v>24</v>
      </c>
      <c r="E16" t="s">
        <v>25</v>
      </c>
      <c r="F16" s="3">
        <v>45561</v>
      </c>
      <c r="G16">
        <v>109</v>
      </c>
      <c r="H16">
        <v>66</v>
      </c>
      <c r="I16" s="4">
        <v>0.87070000000000003</v>
      </c>
      <c r="J16" s="5">
        <v>37547</v>
      </c>
      <c r="K16">
        <v>4</v>
      </c>
      <c r="L16" t="s">
        <v>46</v>
      </c>
    </row>
    <row r="17" spans="1:12" x14ac:dyDescent="0.3">
      <c r="A17" t="s">
        <v>65</v>
      </c>
      <c r="B17" t="s">
        <v>66</v>
      </c>
      <c r="C17" t="s">
        <v>43</v>
      </c>
      <c r="D17" t="s">
        <v>24</v>
      </c>
      <c r="E17" t="s">
        <v>25</v>
      </c>
      <c r="F17" s="3">
        <v>45759</v>
      </c>
      <c r="G17">
        <v>120</v>
      </c>
      <c r="H17">
        <v>81</v>
      </c>
      <c r="I17" s="4">
        <v>0.9819</v>
      </c>
      <c r="J17" s="5">
        <v>72602</v>
      </c>
      <c r="K17">
        <v>4</v>
      </c>
      <c r="L17" t="s">
        <v>32</v>
      </c>
    </row>
    <row r="18" spans="1:12" x14ac:dyDescent="0.3">
      <c r="A18" t="s">
        <v>67</v>
      </c>
      <c r="B18" t="s">
        <v>68</v>
      </c>
      <c r="C18" t="s">
        <v>23</v>
      </c>
      <c r="D18" t="s">
        <v>30</v>
      </c>
      <c r="E18" t="s">
        <v>31</v>
      </c>
      <c r="F18" s="3">
        <v>45941</v>
      </c>
      <c r="G18">
        <v>130</v>
      </c>
      <c r="H18">
        <v>116</v>
      </c>
      <c r="I18" s="4">
        <v>0.8921</v>
      </c>
      <c r="J18" s="5">
        <v>40491</v>
      </c>
      <c r="K18">
        <v>2</v>
      </c>
      <c r="L18" t="s">
        <v>36</v>
      </c>
    </row>
    <row r="19" spans="1:12" x14ac:dyDescent="0.3">
      <c r="A19" t="s">
        <v>69</v>
      </c>
      <c r="B19" t="s">
        <v>70</v>
      </c>
      <c r="C19" t="s">
        <v>29</v>
      </c>
      <c r="D19" t="s">
        <v>40</v>
      </c>
      <c r="E19" t="s">
        <v>35</v>
      </c>
      <c r="F19" s="3">
        <v>45345</v>
      </c>
      <c r="G19">
        <v>136</v>
      </c>
      <c r="H19">
        <v>85</v>
      </c>
      <c r="I19" s="4">
        <v>0.83840000000000003</v>
      </c>
      <c r="J19" s="5">
        <v>65144</v>
      </c>
      <c r="K19">
        <v>3</v>
      </c>
      <c r="L19" t="s">
        <v>26</v>
      </c>
    </row>
    <row r="20" spans="1:12" x14ac:dyDescent="0.3">
      <c r="A20" t="s">
        <v>71</v>
      </c>
      <c r="B20" t="s">
        <v>72</v>
      </c>
      <c r="C20" t="s">
        <v>29</v>
      </c>
      <c r="D20" t="s">
        <v>30</v>
      </c>
      <c r="E20" t="s">
        <v>25</v>
      </c>
      <c r="F20" s="3">
        <v>45920</v>
      </c>
      <c r="G20">
        <v>126</v>
      </c>
      <c r="H20">
        <v>143</v>
      </c>
      <c r="I20" s="4">
        <v>0.88770000000000004</v>
      </c>
      <c r="J20" s="5">
        <v>69576</v>
      </c>
      <c r="K20">
        <v>3</v>
      </c>
      <c r="L20" t="s">
        <v>46</v>
      </c>
    </row>
    <row r="21" spans="1:12" x14ac:dyDescent="0.3">
      <c r="A21" t="s">
        <v>73</v>
      </c>
      <c r="B21" t="s">
        <v>74</v>
      </c>
      <c r="C21" t="s">
        <v>29</v>
      </c>
      <c r="D21" t="s">
        <v>30</v>
      </c>
      <c r="E21" t="s">
        <v>31</v>
      </c>
      <c r="F21" s="3">
        <v>45769</v>
      </c>
      <c r="G21">
        <v>126</v>
      </c>
      <c r="H21">
        <v>125</v>
      </c>
      <c r="I21" s="4">
        <v>0.90649999999999997</v>
      </c>
      <c r="J21" s="5">
        <v>48437</v>
      </c>
      <c r="K21">
        <v>2</v>
      </c>
      <c r="L21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80</v>
      </c>
      <c r="B2" s="7" t="s">
        <v>81</v>
      </c>
      <c r="C2" s="7">
        <f>SUM(Dataset!G2:G21)</f>
        <v>2424</v>
      </c>
      <c r="D2" s="7" t="s">
        <v>82</v>
      </c>
      <c r="E2" s="7" t="s">
        <v>83</v>
      </c>
    </row>
    <row r="3" spans="1:5" x14ac:dyDescent="0.3">
      <c r="A3" s="7" t="s">
        <v>84</v>
      </c>
      <c r="B3" s="7" t="s">
        <v>85</v>
      </c>
      <c r="C3" s="7">
        <f>AVERAGE(Dataset!H2:H21)</f>
        <v>112.15</v>
      </c>
      <c r="D3" s="7" t="s">
        <v>86</v>
      </c>
      <c r="E3" s="7" t="s">
        <v>87</v>
      </c>
    </row>
    <row r="4" spans="1:5" x14ac:dyDescent="0.3">
      <c r="A4" s="7" t="s">
        <v>88</v>
      </c>
      <c r="B4" s="7" t="s">
        <v>89</v>
      </c>
      <c r="C4" s="7">
        <f>MIN(Dataset!H2:H21)</f>
        <v>66</v>
      </c>
      <c r="D4" s="7" t="s">
        <v>90</v>
      </c>
      <c r="E4" s="7" t="s">
        <v>91</v>
      </c>
    </row>
    <row r="5" spans="1:5" x14ac:dyDescent="0.3">
      <c r="A5" s="7" t="s">
        <v>92</v>
      </c>
      <c r="B5" s="7" t="s">
        <v>93</v>
      </c>
      <c r="C5" s="7">
        <f>MAX(Dataset!H2:H21)</f>
        <v>147</v>
      </c>
      <c r="D5" s="7" t="s">
        <v>94</v>
      </c>
      <c r="E5" s="7" t="s">
        <v>95</v>
      </c>
    </row>
    <row r="6" spans="1:5" x14ac:dyDescent="0.3">
      <c r="A6" s="7" t="s">
        <v>96</v>
      </c>
      <c r="B6" s="7" t="s">
        <v>97</v>
      </c>
      <c r="C6" s="7">
        <f>COUNT(Dataset!G2:G21)</f>
        <v>20</v>
      </c>
      <c r="D6" s="7" t="s">
        <v>98</v>
      </c>
      <c r="E6" s="7" t="s">
        <v>99</v>
      </c>
    </row>
    <row r="7" spans="1:5" x14ac:dyDescent="0.3">
      <c r="A7" s="7" t="s">
        <v>100</v>
      </c>
      <c r="B7" s="7" t="s">
        <v>101</v>
      </c>
      <c r="C7" s="7">
        <f>COUNTA(Dataset!A2:A21)</f>
        <v>20</v>
      </c>
      <c r="D7" s="7" t="s">
        <v>102</v>
      </c>
      <c r="E7" s="7" t="s">
        <v>103</v>
      </c>
    </row>
    <row r="8" spans="1:5" x14ac:dyDescent="0.3">
      <c r="A8" s="7" t="s">
        <v>104</v>
      </c>
      <c r="B8" s="7" t="s">
        <v>105</v>
      </c>
      <c r="C8" s="7">
        <f>COUNTBLANK(Dataset!C2:C21)</f>
        <v>0</v>
      </c>
      <c r="D8" s="7" t="s">
        <v>106</v>
      </c>
      <c r="E8" s="7" t="s">
        <v>107</v>
      </c>
    </row>
    <row r="9" spans="1:5" x14ac:dyDescent="0.3">
      <c r="A9" s="7" t="s">
        <v>108</v>
      </c>
      <c r="B9" s="7" t="s">
        <v>109</v>
      </c>
      <c r="C9" s="7">
        <f>ROUND(AVERAGE(Dataset!H2:H21),2)</f>
        <v>112.15</v>
      </c>
      <c r="D9" s="7" t="s">
        <v>110</v>
      </c>
      <c r="E9" s="7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112</v>
      </c>
      <c r="B2" s="7" t="s">
        <v>113</v>
      </c>
      <c r="C2" s="7" t="str">
        <f>IF(Dataset!H2&gt;=Dataset!G2,"Achieved","Not Achieved")</f>
        <v>Not Achieved</v>
      </c>
      <c r="D2" s="7" t="s">
        <v>114</v>
      </c>
      <c r="E2" s="7" t="s">
        <v>115</v>
      </c>
    </row>
    <row r="3" spans="1:5" x14ac:dyDescent="0.3">
      <c r="A3" s="7" t="s">
        <v>116</v>
      </c>
      <c r="B3" s="7" t="s">
        <v>117</v>
      </c>
      <c r="C3" s="7" t="str" cm="1">
        <f t="array" ref="C3">_xlfn.IFS(Dataset!H2/Dataset!G2&gt;=1,"Achieved",Dataset!H2/Dataset!G2&gt;=0.8,"Near Target",TRUE,"Below Target")</f>
        <v>Below Target</v>
      </c>
      <c r="D3" s="7" t="s">
        <v>118</v>
      </c>
      <c r="E3" s="7" t="s">
        <v>119</v>
      </c>
    </row>
    <row r="4" spans="1:5" x14ac:dyDescent="0.3">
      <c r="A4" s="7" t="s">
        <v>120</v>
      </c>
      <c r="B4" s="7" t="s">
        <v>121</v>
      </c>
      <c r="C4" s="7" t="b">
        <f>AND(Dataset!C2="Sales",Dataset!E2="Active")</f>
        <v>0</v>
      </c>
      <c r="D4" s="7" t="s">
        <v>122</v>
      </c>
      <c r="E4" s="7" t="s">
        <v>123</v>
      </c>
    </row>
    <row r="5" spans="1:5" x14ac:dyDescent="0.3">
      <c r="A5" s="7" t="s">
        <v>124</v>
      </c>
      <c r="B5" s="7" t="s">
        <v>125</v>
      </c>
      <c r="C5" s="7" t="b">
        <f>OR(Dataset!E2="On Leave",Dataset!E2="Inactive")</f>
        <v>0</v>
      </c>
      <c r="D5" s="7" t="s">
        <v>126</v>
      </c>
      <c r="E5" s="7" t="s">
        <v>127</v>
      </c>
    </row>
    <row r="6" spans="1:5" x14ac:dyDescent="0.3">
      <c r="A6" s="7" t="s">
        <v>128</v>
      </c>
      <c r="B6" s="7" t="s">
        <v>129</v>
      </c>
      <c r="C6" s="7">
        <f>IFERROR(Dataset!H2/Dataset!G2,0)</f>
        <v>0.69421487603305787</v>
      </c>
      <c r="D6" s="7" t="s">
        <v>130</v>
      </c>
      <c r="E6" s="7" t="s">
        <v>131</v>
      </c>
    </row>
    <row r="7" spans="1:5" x14ac:dyDescent="0.3">
      <c r="A7" s="7" t="s">
        <v>132</v>
      </c>
      <c r="B7" s="7" t="s">
        <v>133</v>
      </c>
      <c r="C7" s="7" t="str">
        <f>_xlfn.IFNA(_xlfn.XLOOKUP("E9999",Dataset!A:A,Dataset!B:B),"Not Found")</f>
        <v>Not Found</v>
      </c>
      <c r="D7" s="7" t="s">
        <v>134</v>
      </c>
      <c r="E7" s="7" t="s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136</v>
      </c>
      <c r="B2" s="7" t="s">
        <v>137</v>
      </c>
      <c r="C2" s="7" t="str">
        <f>_xlfn.XLOOKUP("E1001",Dataset!A:A,Dataset!B:B,"Not Found")</f>
        <v>Arun</v>
      </c>
      <c r="D2" s="7" t="s">
        <v>138</v>
      </c>
      <c r="E2" s="7" t="s">
        <v>139</v>
      </c>
    </row>
    <row r="3" spans="1:5" ht="28.8" x14ac:dyDescent="0.3">
      <c r="A3" s="7" t="s">
        <v>140</v>
      </c>
      <c r="B3" s="7" t="s">
        <v>141</v>
      </c>
      <c r="C3" s="7" t="str">
        <f>VLOOKUP("E1001",Dataset!A:L,2,FALSE)</f>
        <v>Arun</v>
      </c>
      <c r="D3" s="7" t="s">
        <v>142</v>
      </c>
      <c r="E3" s="7" t="s">
        <v>143</v>
      </c>
    </row>
    <row r="4" spans="1:5" x14ac:dyDescent="0.3">
      <c r="A4" s="7" t="s">
        <v>144</v>
      </c>
      <c r="B4" s="7" t="s">
        <v>145</v>
      </c>
      <c r="C4" s="7" t="str">
        <f>INDEX(Dataset!B:B,2)</f>
        <v>Arun</v>
      </c>
      <c r="D4" s="7" t="s">
        <v>146</v>
      </c>
      <c r="E4" s="7" t="s">
        <v>147</v>
      </c>
    </row>
    <row r="5" spans="1:5" x14ac:dyDescent="0.3">
      <c r="A5" s="7" t="s">
        <v>148</v>
      </c>
      <c r="B5" s="7" t="s">
        <v>149</v>
      </c>
      <c r="C5" s="7">
        <f>MATCH("E1001",Dataset!A:A,0)</f>
        <v>2</v>
      </c>
      <c r="D5" s="7" t="s">
        <v>150</v>
      </c>
      <c r="E5" s="7" t="s">
        <v>151</v>
      </c>
    </row>
    <row r="6" spans="1:5" x14ac:dyDescent="0.3">
      <c r="A6" s="7" t="s">
        <v>152</v>
      </c>
      <c r="B6" s="7" t="s">
        <v>153</v>
      </c>
      <c r="C6" s="7" t="str">
        <f>INDEX(Dataset!B:B,MATCH("E1001",Dataset!A:A,0))</f>
        <v>Arun</v>
      </c>
      <c r="D6" s="7" t="s">
        <v>154</v>
      </c>
      <c r="E6" s="7" t="s">
        <v>151</v>
      </c>
    </row>
    <row r="7" spans="1:5" x14ac:dyDescent="0.3">
      <c r="A7" s="7" t="s">
        <v>155</v>
      </c>
      <c r="B7" s="7" t="s">
        <v>156</v>
      </c>
      <c r="C7" s="7">
        <f>_xlfn.XMATCH("E1001",Dataset!A:A)</f>
        <v>2</v>
      </c>
      <c r="D7" s="7" t="s">
        <v>157</v>
      </c>
      <c r="E7" s="7" t="s">
        <v>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158</v>
      </c>
      <c r="B2" s="7" t="s">
        <v>159</v>
      </c>
      <c r="C2" s="7">
        <f>SUMIF(Dataset!C:C,"Sales",Dataset!H:H)</f>
        <v>794</v>
      </c>
      <c r="D2" s="7" t="s">
        <v>160</v>
      </c>
      <c r="E2" s="7" t="s">
        <v>161</v>
      </c>
    </row>
    <row r="3" spans="1:5" x14ac:dyDescent="0.3">
      <c r="A3" s="7" t="s">
        <v>162</v>
      </c>
      <c r="B3" s="7" t="s">
        <v>163</v>
      </c>
      <c r="C3" s="7">
        <f>SUMIFS(Dataset!H:H,Dataset!C:C,"Sales",Dataset!E:E,"Active")</f>
        <v>143</v>
      </c>
      <c r="D3" s="7" t="s">
        <v>164</v>
      </c>
      <c r="E3" s="7" t="s">
        <v>165</v>
      </c>
    </row>
    <row r="4" spans="1:5" x14ac:dyDescent="0.3">
      <c r="A4" s="7" t="s">
        <v>166</v>
      </c>
      <c r="B4" s="7" t="s">
        <v>167</v>
      </c>
      <c r="C4" s="7">
        <f>COUNTIF(Dataset!C:C,"Sales")</f>
        <v>7</v>
      </c>
      <c r="D4" s="7" t="s">
        <v>168</v>
      </c>
      <c r="E4" s="7" t="s">
        <v>123</v>
      </c>
    </row>
    <row r="5" spans="1:5" x14ac:dyDescent="0.3">
      <c r="A5" s="7" t="s">
        <v>169</v>
      </c>
      <c r="B5" s="7" t="s">
        <v>170</v>
      </c>
      <c r="C5" s="7">
        <f>COUNTIFS(Dataset!C:C,"Sales",Dataset!E:E,"Active")</f>
        <v>1</v>
      </c>
      <c r="D5" s="7" t="s">
        <v>171</v>
      </c>
      <c r="E5" s="7" t="s">
        <v>172</v>
      </c>
    </row>
    <row r="6" spans="1:5" x14ac:dyDescent="0.3">
      <c r="A6" s="7" t="s">
        <v>173</v>
      </c>
      <c r="B6" s="7" t="s">
        <v>174</v>
      </c>
      <c r="C6" s="7">
        <f>AVERAGEIF(Dataset!C:C,"Sales",Dataset!H:H)</f>
        <v>113.42857142857143</v>
      </c>
      <c r="D6" s="7" t="s">
        <v>175</v>
      </c>
      <c r="E6" s="7" t="s">
        <v>123</v>
      </c>
    </row>
    <row r="7" spans="1:5" x14ac:dyDescent="0.3">
      <c r="A7" s="7" t="s">
        <v>176</v>
      </c>
      <c r="B7" s="7" t="s">
        <v>177</v>
      </c>
      <c r="C7" s="7">
        <f>AVERAGEIFS(Dataset!H:H,Dataset!C:C,"Sales",Dataset!E:E,"Active")</f>
        <v>143</v>
      </c>
      <c r="D7" s="7" t="s">
        <v>178</v>
      </c>
      <c r="E7" s="7" t="s">
        <v>172</v>
      </c>
    </row>
    <row r="8" spans="1:5" x14ac:dyDescent="0.3">
      <c r="A8" s="7" t="s">
        <v>179</v>
      </c>
      <c r="B8" s="7" t="s">
        <v>180</v>
      </c>
      <c r="C8" s="7">
        <f>_xlfn.MAXIFS(Dataset!H:H,Dataset!C:C,"Sales")</f>
        <v>143</v>
      </c>
      <c r="D8" s="7" t="s">
        <v>181</v>
      </c>
      <c r="E8" s="7" t="s">
        <v>123</v>
      </c>
    </row>
    <row r="9" spans="1:5" x14ac:dyDescent="0.3">
      <c r="A9" s="7" t="s">
        <v>182</v>
      </c>
      <c r="B9" s="7" t="s">
        <v>183</v>
      </c>
      <c r="C9" s="7">
        <f>_xlfn.MINIFS(Dataset!H:H,Dataset!C:C,"Sales")</f>
        <v>70</v>
      </c>
      <c r="D9" s="7" t="s">
        <v>184</v>
      </c>
      <c r="E9" s="7" t="s">
        <v>123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185</v>
      </c>
      <c r="B2" s="7" t="s">
        <v>186</v>
      </c>
      <c r="C2" s="7" t="str">
        <f>LEFT(Dataset!B2,3)</f>
        <v>Aru</v>
      </c>
      <c r="D2" s="7" t="s">
        <v>187</v>
      </c>
      <c r="E2" s="7" t="s">
        <v>188</v>
      </c>
    </row>
    <row r="3" spans="1:5" x14ac:dyDescent="0.3">
      <c r="A3" s="7" t="s">
        <v>189</v>
      </c>
      <c r="B3" s="7" t="s">
        <v>190</v>
      </c>
      <c r="C3" s="7" t="str">
        <f>RIGHT(Dataset!A2,4)</f>
        <v>1001</v>
      </c>
      <c r="D3" s="7" t="s">
        <v>191</v>
      </c>
      <c r="E3" s="7" t="s">
        <v>188</v>
      </c>
    </row>
    <row r="4" spans="1:5" x14ac:dyDescent="0.3">
      <c r="A4" s="7" t="s">
        <v>192</v>
      </c>
      <c r="B4" s="7" t="s">
        <v>193</v>
      </c>
      <c r="C4" s="7" t="str">
        <f>MID(Dataset!A2,2,4)</f>
        <v>1001</v>
      </c>
      <c r="D4" s="7" t="s">
        <v>194</v>
      </c>
      <c r="E4" s="7" t="s">
        <v>195</v>
      </c>
    </row>
    <row r="5" spans="1:5" x14ac:dyDescent="0.3">
      <c r="A5" s="7" t="s">
        <v>196</v>
      </c>
      <c r="B5" s="7" t="s">
        <v>197</v>
      </c>
      <c r="C5" s="7">
        <f>LEN(Dataset!B2)</f>
        <v>4</v>
      </c>
      <c r="D5" s="7" t="s">
        <v>198</v>
      </c>
      <c r="E5" s="7" t="s">
        <v>199</v>
      </c>
    </row>
    <row r="6" spans="1:5" x14ac:dyDescent="0.3">
      <c r="A6" s="7" t="s">
        <v>200</v>
      </c>
      <c r="B6" s="7" t="s">
        <v>201</v>
      </c>
      <c r="C6" s="7" t="str">
        <f>TRIM("  Data Analyst  ")</f>
        <v>Data Analyst</v>
      </c>
      <c r="D6" s="7" t="s">
        <v>202</v>
      </c>
      <c r="E6" s="7" t="s">
        <v>203</v>
      </c>
    </row>
    <row r="7" spans="1:5" x14ac:dyDescent="0.3">
      <c r="A7" s="7" t="s">
        <v>204</v>
      </c>
      <c r="B7" s="7" t="s">
        <v>205</v>
      </c>
      <c r="C7" s="7" t="str">
        <f>UPPER(Dataset!C2)</f>
        <v>IT</v>
      </c>
      <c r="D7" s="7" t="s">
        <v>206</v>
      </c>
      <c r="E7" s="7" t="s">
        <v>207</v>
      </c>
    </row>
    <row r="8" spans="1:5" x14ac:dyDescent="0.3">
      <c r="A8" s="7" t="s">
        <v>208</v>
      </c>
      <c r="B8" s="7" t="s">
        <v>209</v>
      </c>
      <c r="C8" s="7" t="str">
        <f>LOWER(Dataset!D2)</f>
        <v>hyderabad</v>
      </c>
      <c r="D8" s="7" t="s">
        <v>210</v>
      </c>
      <c r="E8" s="7" t="s">
        <v>211</v>
      </c>
    </row>
    <row r="9" spans="1:5" x14ac:dyDescent="0.3">
      <c r="A9" s="7" t="s">
        <v>212</v>
      </c>
      <c r="B9" s="7" t="s">
        <v>213</v>
      </c>
      <c r="C9" s="7" t="str">
        <f>PROPER("data analyst")</f>
        <v>Data Analyst</v>
      </c>
      <c r="D9" s="7" t="s">
        <v>214</v>
      </c>
      <c r="E9" s="7" t="s">
        <v>215</v>
      </c>
    </row>
    <row r="10" spans="1:5" x14ac:dyDescent="0.3">
      <c r="A10" s="7" t="s">
        <v>216</v>
      </c>
      <c r="B10" s="7" t="s">
        <v>217</v>
      </c>
      <c r="C10" s="7" t="str">
        <f>_xlfn.CONCAT(Dataset!B2," - ",Dataset!C2)</f>
        <v>Arun - IT</v>
      </c>
      <c r="D10" s="7" t="s">
        <v>218</v>
      </c>
      <c r="E10" s="7" t="s">
        <v>219</v>
      </c>
    </row>
    <row r="11" spans="1:5" x14ac:dyDescent="0.3">
      <c r="A11" s="7" t="s">
        <v>220</v>
      </c>
      <c r="B11" s="7" t="s">
        <v>221</v>
      </c>
      <c r="C11" s="7" t="str">
        <f>_xlfn.TEXTJOIN(" | ",TRUE,Dataset!B2,Dataset!C2,Dataset!D2)</f>
        <v>Arun | IT | Hyderabad</v>
      </c>
      <c r="D11" s="7" t="s">
        <v>222</v>
      </c>
      <c r="E11" s="7" t="s">
        <v>223</v>
      </c>
    </row>
    <row r="12" spans="1:5" x14ac:dyDescent="0.3">
      <c r="A12" s="7" t="s">
        <v>224</v>
      </c>
      <c r="B12" s="7" t="s">
        <v>225</v>
      </c>
      <c r="C12" s="7" t="str">
        <f>SUBSTITUTE(Dataset!C2,"Sales","SALES")</f>
        <v>IT</v>
      </c>
      <c r="D12" s="7" t="s">
        <v>226</v>
      </c>
      <c r="E12" s="7" t="s">
        <v>227</v>
      </c>
    </row>
    <row r="13" spans="1:5" x14ac:dyDescent="0.3">
      <c r="A13" s="7" t="s">
        <v>228</v>
      </c>
      <c r="B13" s="7" t="s">
        <v>229</v>
      </c>
      <c r="C13" s="7" t="e">
        <f>FIND("a",Dataset!B2)</f>
        <v>#VALUE!</v>
      </c>
      <c r="D13" s="7" t="s">
        <v>230</v>
      </c>
      <c r="E13" s="7" t="s">
        <v>231</v>
      </c>
    </row>
    <row r="14" spans="1:5" x14ac:dyDescent="0.3">
      <c r="A14" s="7" t="s">
        <v>232</v>
      </c>
      <c r="B14" s="7" t="s">
        <v>233</v>
      </c>
      <c r="C14" s="7">
        <f>SEARCH("a",Dataset!B2)</f>
        <v>1</v>
      </c>
      <c r="D14" s="7" t="s">
        <v>230</v>
      </c>
      <c r="E14" s="7" t="s">
        <v>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234</v>
      </c>
      <c r="B2" s="7" t="s">
        <v>235</v>
      </c>
      <c r="C2" s="7">
        <f ca="1">TODAY()</f>
        <v>46301</v>
      </c>
      <c r="D2" s="7" t="s">
        <v>236</v>
      </c>
      <c r="E2" s="7" t="s">
        <v>237</v>
      </c>
    </row>
    <row r="3" spans="1:5" x14ac:dyDescent="0.3">
      <c r="A3" s="7" t="s">
        <v>238</v>
      </c>
      <c r="B3" s="7" t="s">
        <v>239</v>
      </c>
      <c r="C3" s="7">
        <f ca="1">NOW()</f>
        <v>46301.940498032411</v>
      </c>
      <c r="D3" s="7" t="s">
        <v>240</v>
      </c>
      <c r="E3" s="7" t="s">
        <v>237</v>
      </c>
    </row>
    <row r="4" spans="1:5" x14ac:dyDescent="0.3">
      <c r="A4" s="7" t="s">
        <v>241</v>
      </c>
      <c r="B4" s="7" t="s">
        <v>242</v>
      </c>
      <c r="C4" s="7">
        <f>YEAR(Dataset!F2)</f>
        <v>2024</v>
      </c>
      <c r="D4" s="7" t="s">
        <v>243</v>
      </c>
      <c r="E4" s="7" t="s">
        <v>147</v>
      </c>
    </row>
    <row r="5" spans="1:5" x14ac:dyDescent="0.3">
      <c r="A5" s="7" t="s">
        <v>244</v>
      </c>
      <c r="B5" s="7" t="s">
        <v>245</v>
      </c>
      <c r="C5" s="7">
        <f>MONTH(Dataset!F2)</f>
        <v>3</v>
      </c>
      <c r="D5" s="7" t="s">
        <v>246</v>
      </c>
      <c r="E5" s="7" t="s">
        <v>147</v>
      </c>
    </row>
    <row r="6" spans="1:5" x14ac:dyDescent="0.3">
      <c r="A6" s="7" t="s">
        <v>247</v>
      </c>
      <c r="B6" s="7" t="s">
        <v>248</v>
      </c>
      <c r="C6" s="7">
        <f>DAY(Dataset!F2)</f>
        <v>15</v>
      </c>
      <c r="D6" s="7" t="s">
        <v>249</v>
      </c>
      <c r="E6" s="7" t="s">
        <v>147</v>
      </c>
    </row>
    <row r="7" spans="1:5" x14ac:dyDescent="0.3">
      <c r="A7" s="7" t="s">
        <v>250</v>
      </c>
      <c r="B7" s="7" t="s">
        <v>251</v>
      </c>
      <c r="C7" s="7">
        <f>EOMONTH(Dataset!F2,0)</f>
        <v>45382</v>
      </c>
      <c r="D7" s="7" t="s">
        <v>252</v>
      </c>
      <c r="E7" s="7" t="s">
        <v>253</v>
      </c>
    </row>
    <row r="8" spans="1:5" x14ac:dyDescent="0.3">
      <c r="A8" s="7" t="s">
        <v>254</v>
      </c>
      <c r="B8" s="7" t="s">
        <v>255</v>
      </c>
      <c r="C8" s="7">
        <f ca="1">DATEDIF(Dataset!F2,TODAY(),"Y")</f>
        <v>2</v>
      </c>
      <c r="D8" s="7" t="s">
        <v>256</v>
      </c>
      <c r="E8" s="7" t="s">
        <v>257</v>
      </c>
    </row>
    <row r="9" spans="1:5" x14ac:dyDescent="0.3">
      <c r="A9" s="7" t="s">
        <v>258</v>
      </c>
      <c r="B9" s="7" t="s">
        <v>259</v>
      </c>
      <c r="C9" s="7">
        <f ca="1">NETWORKDAYS(Dataset!F2,TODAY())</f>
        <v>668</v>
      </c>
      <c r="D9" s="7" t="s">
        <v>260</v>
      </c>
      <c r="E9" s="7" t="s">
        <v>261</v>
      </c>
    </row>
    <row r="10" spans="1:5" x14ac:dyDescent="0.3">
      <c r="A10" s="7" t="s">
        <v>262</v>
      </c>
      <c r="B10" s="7" t="s">
        <v>263</v>
      </c>
      <c r="C10" s="7">
        <f>WEEKDAY(Dataset!F2,2)</f>
        <v>5</v>
      </c>
      <c r="D10" s="7" t="s">
        <v>264</v>
      </c>
      <c r="E10" s="7" t="s">
        <v>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266</v>
      </c>
      <c r="B2" s="7" t="s">
        <v>267</v>
      </c>
      <c r="C2" s="7" t="str">
        <f>IF(COUNTIF(Dataset!A:A,Dataset!A2)&gt;1,"Duplicate","OK")</f>
        <v>OK</v>
      </c>
      <c r="D2" s="7" t="s">
        <v>268</v>
      </c>
      <c r="E2" s="7" t="s">
        <v>269</v>
      </c>
    </row>
    <row r="3" spans="1:5" x14ac:dyDescent="0.3">
      <c r="A3" s="7" t="s">
        <v>270</v>
      </c>
      <c r="B3" s="7" t="s">
        <v>271</v>
      </c>
      <c r="C3" s="7" t="str">
        <f>IF(Dataset!B2="","Missing","OK")</f>
        <v>OK</v>
      </c>
      <c r="D3" s="7" t="s">
        <v>272</v>
      </c>
      <c r="E3" s="7" t="s">
        <v>273</v>
      </c>
    </row>
    <row r="4" spans="1:5" x14ac:dyDescent="0.3">
      <c r="A4" s="7" t="s">
        <v>274</v>
      </c>
      <c r="B4" s="7" t="s">
        <v>275</v>
      </c>
      <c r="C4" s="7" t="b">
        <f>ISBLANK(Dataset!B2)</f>
        <v>0</v>
      </c>
      <c r="D4" s="7" t="s">
        <v>276</v>
      </c>
      <c r="E4" s="7" t="s">
        <v>277</v>
      </c>
    </row>
    <row r="5" spans="1:5" x14ac:dyDescent="0.3">
      <c r="A5" s="7" t="s">
        <v>278</v>
      </c>
      <c r="B5" s="7" t="s">
        <v>279</v>
      </c>
      <c r="C5" s="7" t="b">
        <f>ISNUMBER(Dataset!G2)</f>
        <v>1</v>
      </c>
      <c r="D5" s="7" t="s">
        <v>280</v>
      </c>
      <c r="E5" s="7" t="s">
        <v>281</v>
      </c>
    </row>
    <row r="6" spans="1:5" x14ac:dyDescent="0.3">
      <c r="A6" s="7" t="s">
        <v>282</v>
      </c>
      <c r="B6" s="7" t="s">
        <v>283</v>
      </c>
      <c r="C6" s="7" t="b">
        <f>ISTEXT(Dataset!B2)</f>
        <v>1</v>
      </c>
      <c r="D6" s="7" t="s">
        <v>284</v>
      </c>
      <c r="E6" s="7" t="s">
        <v>285</v>
      </c>
    </row>
    <row r="7" spans="1:5" x14ac:dyDescent="0.3">
      <c r="A7" s="7" t="s">
        <v>286</v>
      </c>
      <c r="B7" s="7" t="s">
        <v>287</v>
      </c>
      <c r="C7" s="7" t="b">
        <f>ISERROR(1/0)</f>
        <v>1</v>
      </c>
      <c r="D7" s="7" t="s">
        <v>288</v>
      </c>
      <c r="E7" s="7" t="s">
        <v>289</v>
      </c>
    </row>
    <row r="8" spans="1:5" x14ac:dyDescent="0.3">
      <c r="A8" s="7" t="s">
        <v>290</v>
      </c>
      <c r="B8" s="7" t="s">
        <v>291</v>
      </c>
      <c r="C8" s="7" t="b">
        <f>ISNA(NA())</f>
        <v>1</v>
      </c>
      <c r="D8" s="7" t="s">
        <v>292</v>
      </c>
      <c r="E8" s="7" t="s">
        <v>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294</v>
      </c>
      <c r="B2" s="7" t="s">
        <v>295</v>
      </c>
      <c r="C2" s="7"/>
      <c r="D2" s="7" t="s">
        <v>296</v>
      </c>
      <c r="E2" s="7" t="s">
        <v>123</v>
      </c>
    </row>
    <row r="3" spans="1:5" x14ac:dyDescent="0.3">
      <c r="A3" s="7" t="s">
        <v>297</v>
      </c>
      <c r="B3" s="7" t="s">
        <v>298</v>
      </c>
      <c r="C3" s="7" t="e" cm="1" vm="1">
        <f t="array" aca="1" ref="C3" ca="1">_xlfn.UNIQUE(Dataset!C2:C21)</f>
        <v>#VALUE!</v>
      </c>
      <c r="D3" s="7" t="s">
        <v>299</v>
      </c>
      <c r="E3" s="7" t="s">
        <v>300</v>
      </c>
    </row>
    <row r="4" spans="1:5" x14ac:dyDescent="0.3">
      <c r="A4" s="7" t="s">
        <v>301</v>
      </c>
      <c r="B4" s="7" t="s">
        <v>302</v>
      </c>
      <c r="C4" s="7"/>
      <c r="D4" s="7" t="s">
        <v>303</v>
      </c>
      <c r="E4" s="7" t="s">
        <v>304</v>
      </c>
    </row>
    <row r="5" spans="1:5" x14ac:dyDescent="0.3">
      <c r="A5" s="7" t="s">
        <v>305</v>
      </c>
      <c r="B5" s="7" t="s">
        <v>306</v>
      </c>
      <c r="C5" s="7" t="e" cm="1" vm="2">
        <f t="array" aca="1" ref="C5" ca="1">_xlfn.SORTBY(Dataset!A2:L21,Dataset!H2:H21,-1)</f>
        <v>#VALUE!</v>
      </c>
      <c r="D5" s="7" t="s">
        <v>307</v>
      </c>
      <c r="E5" s="7" t="s">
        <v>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workbookViewId="0">
      <pane ySplit="1" topLeftCell="A2" activePane="bottomLeft" state="frozen"/>
      <selection pane="bottomLeft" activeCell="C7" sqref="C3:C8"/>
    </sheetView>
  </sheetViews>
  <sheetFormatPr defaultRowHeight="14.4" x14ac:dyDescent="0.3"/>
  <cols>
    <col min="1" max="1" width="24" customWidth="1"/>
    <col min="2" max="2" width="38" customWidth="1"/>
    <col min="3" max="3" width="55" customWidth="1"/>
    <col min="4" max="4" width="38" customWidth="1"/>
    <col min="5" max="5" width="30" customWidth="1"/>
  </cols>
  <sheetData>
    <row r="1" spans="1:5" x14ac:dyDescent="0.3">
      <c r="A1" s="6" t="s">
        <v>75</v>
      </c>
      <c r="B1" s="6" t="s">
        <v>76</v>
      </c>
      <c r="C1" s="6" t="s">
        <v>77</v>
      </c>
      <c r="D1" s="6" t="s">
        <v>78</v>
      </c>
      <c r="E1" s="6" t="s">
        <v>79</v>
      </c>
    </row>
    <row r="2" spans="1:5" x14ac:dyDescent="0.3">
      <c r="A2" s="7" t="s">
        <v>309</v>
      </c>
      <c r="B2" s="7" t="s">
        <v>310</v>
      </c>
      <c r="C2" s="7">
        <f>SUBTOTAL(9,Dataset!H2:H21)</f>
        <v>2243</v>
      </c>
      <c r="D2" s="7" t="s">
        <v>311</v>
      </c>
      <c r="E2" s="7" t="s">
        <v>312</v>
      </c>
    </row>
    <row r="3" spans="1:5" ht="28.8" x14ac:dyDescent="0.3">
      <c r="A3" s="7" t="s">
        <v>313</v>
      </c>
      <c r="B3" s="7" t="s">
        <v>314</v>
      </c>
      <c r="C3" s="7">
        <f>_xlfn.AGGREGATE(9,5,Dataset!H2:H21)</f>
        <v>2243</v>
      </c>
      <c r="D3" s="7" t="s">
        <v>315</v>
      </c>
      <c r="E3" s="7" t="s">
        <v>316</v>
      </c>
    </row>
    <row r="4" spans="1:5" x14ac:dyDescent="0.3">
      <c r="A4" s="7" t="s">
        <v>317</v>
      </c>
      <c r="B4" s="7" t="s">
        <v>318</v>
      </c>
      <c r="C4" s="7">
        <f>_xlfn.RANK.EQ(Dataset!H2,Dataset!H$2:H$21)</f>
        <v>17</v>
      </c>
      <c r="D4" s="7" t="s">
        <v>319</v>
      </c>
      <c r="E4" s="7" t="s">
        <v>320</v>
      </c>
    </row>
    <row r="5" spans="1:5" x14ac:dyDescent="0.3">
      <c r="A5" s="7" t="s">
        <v>321</v>
      </c>
      <c r="B5" s="7" t="s">
        <v>322</v>
      </c>
      <c r="C5" s="7">
        <f>_xlfn.PERCENTILE.INC(Dataset!H2:H21,0.9)</f>
        <v>142.1</v>
      </c>
      <c r="D5" s="7" t="s">
        <v>323</v>
      </c>
      <c r="E5" s="7" t="s">
        <v>324</v>
      </c>
    </row>
    <row r="6" spans="1:5" x14ac:dyDescent="0.3">
      <c r="A6" s="7" t="s">
        <v>325</v>
      </c>
      <c r="B6" s="7" t="s">
        <v>326</v>
      </c>
      <c r="C6" s="7">
        <f>MEDIAN(Dataset!H2:H21)</f>
        <v>115.5</v>
      </c>
      <c r="D6" s="7" t="s">
        <v>327</v>
      </c>
      <c r="E6" s="7" t="s">
        <v>328</v>
      </c>
    </row>
    <row r="7" spans="1:5" x14ac:dyDescent="0.3">
      <c r="A7" s="7" t="s">
        <v>329</v>
      </c>
      <c r="B7" s="7" t="s">
        <v>330</v>
      </c>
      <c r="C7" s="7">
        <f>_xlfn.STDEV.S(Dataset!H2:H21)</f>
        <v>26.825508284780764</v>
      </c>
      <c r="D7" s="7" t="s">
        <v>331</v>
      </c>
      <c r="E7" s="7" t="s">
        <v>332</v>
      </c>
    </row>
    <row r="8" spans="1:5" x14ac:dyDescent="0.3">
      <c r="A8" s="7" t="s">
        <v>333</v>
      </c>
      <c r="B8" s="7" t="s">
        <v>334</v>
      </c>
      <c r="C8" s="7">
        <f>CORREL(Dataset!G2:G21,Dataset!H2:H21)</f>
        <v>-0.31665507175634672</v>
      </c>
      <c r="D8" s="7" t="s">
        <v>335</v>
      </c>
      <c r="E8" s="7" t="s">
        <v>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60" customWidth="1"/>
    <col min="2" max="2" width="30" customWidth="1"/>
    <col min="3" max="3" width="50" customWidth="1"/>
  </cols>
  <sheetData>
    <row r="1" spans="1:3" x14ac:dyDescent="0.3">
      <c r="A1" s="2" t="s">
        <v>337</v>
      </c>
      <c r="B1" s="2" t="s">
        <v>338</v>
      </c>
      <c r="C1" s="2" t="s">
        <v>339</v>
      </c>
    </row>
    <row r="2" spans="1:3" x14ac:dyDescent="0.3">
      <c r="A2" t="s">
        <v>340</v>
      </c>
      <c r="B2" t="s">
        <v>100</v>
      </c>
    </row>
    <row r="3" spans="1:3" x14ac:dyDescent="0.3">
      <c r="A3" t="s">
        <v>341</v>
      </c>
      <c r="B3" t="s">
        <v>80</v>
      </c>
    </row>
    <row r="4" spans="1:3" x14ac:dyDescent="0.3">
      <c r="A4" t="s">
        <v>342</v>
      </c>
      <c r="B4" t="s">
        <v>84</v>
      </c>
    </row>
    <row r="5" spans="1:3" x14ac:dyDescent="0.3">
      <c r="A5" t="s">
        <v>343</v>
      </c>
      <c r="B5" t="s">
        <v>166</v>
      </c>
    </row>
    <row r="6" spans="1:3" x14ac:dyDescent="0.3">
      <c r="A6" t="s">
        <v>344</v>
      </c>
      <c r="B6" t="s">
        <v>169</v>
      </c>
    </row>
    <row r="7" spans="1:3" x14ac:dyDescent="0.3">
      <c r="A7" t="s">
        <v>345</v>
      </c>
      <c r="B7" t="s">
        <v>158</v>
      </c>
    </row>
    <row r="8" spans="1:3" x14ac:dyDescent="0.3">
      <c r="A8" t="s">
        <v>346</v>
      </c>
      <c r="B8" t="s">
        <v>162</v>
      </c>
    </row>
    <row r="9" spans="1:3" x14ac:dyDescent="0.3">
      <c r="A9" t="s">
        <v>347</v>
      </c>
      <c r="B9" t="s">
        <v>348</v>
      </c>
    </row>
    <row r="10" spans="1:3" x14ac:dyDescent="0.3">
      <c r="A10" t="s">
        <v>349</v>
      </c>
      <c r="B10" t="s">
        <v>112</v>
      </c>
    </row>
    <row r="11" spans="1:3" x14ac:dyDescent="0.3">
      <c r="A11" t="s">
        <v>350</v>
      </c>
      <c r="B11" t="s">
        <v>166</v>
      </c>
    </row>
    <row r="12" spans="1:3" x14ac:dyDescent="0.3">
      <c r="A12" t="s">
        <v>351</v>
      </c>
      <c r="B12" t="s">
        <v>352</v>
      </c>
    </row>
    <row r="13" spans="1:3" x14ac:dyDescent="0.3">
      <c r="A13" t="s">
        <v>353</v>
      </c>
      <c r="B13" t="s">
        <v>297</v>
      </c>
    </row>
    <row r="14" spans="1:3" x14ac:dyDescent="0.3">
      <c r="A14" t="s">
        <v>354</v>
      </c>
      <c r="B14" t="s">
        <v>294</v>
      </c>
    </row>
    <row r="15" spans="1:3" x14ac:dyDescent="0.3">
      <c r="A15" t="s">
        <v>355</v>
      </c>
      <c r="B15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START_HERE</vt:lpstr>
      <vt:lpstr>Dataset</vt:lpstr>
      <vt:lpstr>01_Basic_Math</vt:lpstr>
      <vt:lpstr>02_Logical</vt:lpstr>
      <vt:lpstr>03_Lookups</vt:lpstr>
      <vt:lpstr>04_Criteria_Aggregation</vt:lpstr>
      <vt:lpstr>05_Text</vt:lpstr>
      <vt:lpstr>06_Date_Time</vt:lpstr>
      <vt:lpstr>07_Data_Quality</vt:lpstr>
      <vt:lpstr>08_Dynamic_Array</vt:lpstr>
      <vt:lpstr>09_Analysis</vt:lpstr>
      <vt:lpstr>10_Practice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Somanadhan S</cp:lastModifiedBy>
  <dcterms:created xsi:type="dcterms:W3CDTF">2026-10-06T16:58:00Z</dcterms:created>
  <dcterms:modified xsi:type="dcterms:W3CDTF">2026-10-06T17:04:37Z</dcterms:modified>
</cp:coreProperties>
</file>